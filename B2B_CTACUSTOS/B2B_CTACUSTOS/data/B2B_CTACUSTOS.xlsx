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4050fe78b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99ec28532d4c5b"/>
    <x:sheet xmlns:r="http://schemas.openxmlformats.org/officeDocument/2006/relationships" name="Atividades" sheetId="2" r:id="Rbd7a030624ed4011"/>
    <x:sheet xmlns:r="http://schemas.openxmlformats.org/officeDocument/2006/relationships" name="Parametros" sheetId="3" r:id="R887453ca7b3e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&quot;R$&quot; #,##0.00"/>
    <x:numFmt numFmtId="202" formatCode="yyyy-mm-dd hh:mm"/>
  </x:numFmts>
  <x:fonts count="9">
    <x:font>
      <x:sz val="11"/>
      <x:name val="Carlito"/>
    </x:font>
    <x:font>
      <x:sz val="10"/>
      <x:color rgb="FF18151A"/>
      <x:name val="Arial"/>
    </x:font>
    <x:font>
      <x:b/>
      <x:sz val="10"/>
      <x:color rgb="FFFFFFFF"/>
      <x:name val="Arial"/>
    </x:font>
    <x:font>
      <x:b/>
      <x:sz val="20"/>
      <x:color rgb="FF18151A"/>
      <x:name val="Arial"/>
    </x:font>
    <x:font>
      <x:i/>
      <x:sz val="10"/>
      <x:color rgb="FF625B65"/>
      <x:name val="Arial"/>
    </x:font>
    <x:font>
      <x:sz val="10"/>
      <x:color rgb="FF625B65"/>
      <x:name val="Arial"/>
    </x:font>
    <x:font>
      <x:b/>
      <x:sz val="11"/>
      <x:color rgb="FF18151A"/>
      <x:name val="Arial"/>
    </x:font>
    <x:font>
      <x:b/>
      <x:sz val="10"/>
      <x:color rgb="FF18151A"/>
      <x:name val="Arial"/>
    </x:font>
    <x:font>
      <x:b/>
      <x:sz val="10"/>
      <x:color rgb="FF5C275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A2F73"/>
      </x:patternFill>
    </x:fill>
    <x:fill>
      <x:patternFill patternType="solid">
        <x:fgColor rgb="FFF2E5F0"/>
      </x:patternFill>
    </x:fill>
  </x:fills>
  <x:borders count="8">
    <x:border/>
    <x:border>
      <x:right style="thin">
        <x:color rgb="FFA967A3"/>
      </x:right>
    </x:border>
    <x:border>
      <x:left style="thin">
        <x:color rgb="FFA967A3"/>
      </x:left>
      <x:right style="thin">
        <x:color rgb="FFA967A3"/>
      </x:right>
    </x:border>
    <x:border>
      <x:left style="thin">
        <x:color rgb="FFA967A3"/>
      </x:left>
    </x:border>
    <x:border>
      <x:bottom style="thin">
        <x:color rgb="FFE5DFE6"/>
      </x:bottom>
    </x:border>
    <x:border>
      <x:top style="thin">
        <x:color rgb="FFE5DFE6"/>
      </x:top>
      <x:bottom style="thin">
        <x:color rgb="FFE5DFE6"/>
      </x:bottom>
    </x:border>
    <x:border>
      <x:top style="thin">
        <x:color rgb="FFE5DFE6"/>
      </x:top>
    </x:border>
    <x:border>
      <x:bottom style="thin">
        <x:color rgb="FFDD7FD4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/>
    </x:xf>
    <x:xf numFmtId="0" fontId="1" fillId="0" borderId="5" xfId="0" applyNumberFormat="1" applyFont="1" applyFill="1" applyBorder="1" applyAlignment="1">
      <x:alignment horizontal="right"/>
    </x:xf>
    <x:xf numFmtId="0" fontId="1" fillId="0" borderId="6" xfId="0" applyNumberFormat="1" applyFont="1" applyFill="1" applyBorder="1" applyAlignment="1">
      <x:alignment horizontal="right"/>
    </x:xf>
    <x:xf numFmtId="200" fontId="1" fillId="0" borderId="4" xfId="0" applyNumberFormat="1" applyFont="1" applyFill="1" applyBorder="1" applyAlignment="1">
      <x:alignment horizontal="right"/>
    </x:xf>
    <x:xf numFmtId="200" fontId="1" fillId="0" borderId="5" xfId="0" applyNumberFormat="1" applyFont="1" applyFill="1" applyBorder="1" applyAlignment="1">
      <x:alignment horizontal="right"/>
    </x:xf>
    <x:xf numFmtId="200" fontId="1" fillId="0" borderId="6" xfId="0" applyNumberFormat="1" applyFont="1" applyFill="1" applyBorder="1" applyAlignment="1">
      <x:alignment horizontal="right"/>
    </x:xf>
    <x:xf numFmtId="201" fontId="1" fillId="0" borderId="4" xfId="0" applyNumberFormat="1" applyFont="1" applyFill="1" applyBorder="1" applyAlignment="1">
      <x:alignment horizontal="right"/>
    </x:xf>
    <x:xf numFmtId="201" fontId="1" fillId="0" borderId="5" xfId="0" applyNumberFormat="1" applyFont="1" applyFill="1" applyBorder="1" applyAlignment="1">
      <x:alignment horizontal="right"/>
    </x:xf>
    <x:xf numFmtId="201" fontId="1" fillId="0" borderId="6" xfId="0" applyNumberFormat="1" applyFont="1" applyFill="1" applyBorder="1" applyAlignment="1">
      <x:alignment horizontal="right"/>
    </x:xf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7" xfId="0" applyNumberFormat="1" applyFont="1" applyFill="1" applyBorder="1"/>
    <x:xf numFmtId="201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1" fontId="6" fillId="0" borderId="5" xfId="0" applyNumberFormat="1" applyFont="1" applyFill="1" applyBorder="1"/>
    <x:xf numFmtId="201" fontId="6" fillId="0" borderId="6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1" fillId="3" borderId="0" xfId="0" applyNumberFormat="1" applyFont="1" applyFill="1" applyBorder="1"/>
    <x:xf numFmtId="0" fontId="8" fillId="3" borderId="0" xfId="0" applyNumberFormat="1" applyFont="1" applyFill="1" applyBorder="1"/>
    <x:xf numFmtId="201" fontId="1" fillId="0" borderId="4" xfId="0" applyNumberFormat="1" applyFont="1" applyFill="1" applyBorder="1"/>
  </x:cellXfs>
  <x:cellStyles count="1">
    <x:cellStyle name="Normal" xfId="0"/>
  </x:cellStyles>
  <x:dxfs count="5">
    <x:dxf>
      <x:font>
        <x:b/>
        <x:color rgb="FF167447"/>
      </x:font>
      <x:fill>
        <x:patternFill patternType="solid">
          <x:bgColor rgb="FFE8F7EF"/>
        </x:patternFill>
      </x:fill>
    </x:dxf>
    <x:dxf>
      <x:font>
        <x:b/>
        <x:color rgb="FF946200"/>
      </x:font>
      <x:fill>
        <x:patternFill patternType="solid">
          <x:bgColor rgb="FFFFF4D6"/>
        </x:patternFill>
      </x:fill>
    </x:dxf>
    <x:dxf>
      <x:font>
        <x:color rgb="FF596274"/>
      </x:font>
      <x:fill>
        <x:patternFill patternType="solid">
          <x:bgColor rgb="FFEEF0F4"/>
        </x:patternFill>
      </x:fill>
    </x:dxf>
    <x:dxf>
      <x:font>
        <x:b/>
        <x:color rgb="FFB4233B"/>
      </x:font>
      <x:fill>
        <x:patternFill patternType="solid">
          <x:bgColor rgb="FFFCE8EC"/>
        </x:patternFill>
      </x:fill>
    </x:dxf>
    <x:dxf>
      <x:font>
        <x:b/>
        <x:color rgb="FF167447"/>
      </x:font>
      <x:fill>
        <x:patternFill patternType="solid">
          <x:bgColor rgb="FFE8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4fdc1964148b5" /><Relationship Type="http://schemas.openxmlformats.org/officeDocument/2006/relationships/theme" Target="/xl/theme/theme1.xml" Id="R7629786b85b74666" /><Relationship Type="http://schemas.openxmlformats.org/officeDocument/2006/relationships/sharedStrings" Target="/xl/sharedStrings.xml" Id="Rcc84eb8afea84c8b" /><Relationship Type="http://schemas.openxmlformats.org/officeDocument/2006/relationships/worksheet" Target="/xl/worksheets/sheet1.xml" Id="R1799ec28532d4c5b" /><Relationship Type="http://schemas.openxmlformats.org/officeDocument/2006/relationships/worksheet" Target="/xl/worksheets/sheet2.xml" Id="Rbd7a030624ed4011" /><Relationship Type="http://schemas.openxmlformats.org/officeDocument/2006/relationships/worksheet" Target="/xl/worksheets/sheet3.xml" Id="R887453ca7b3e49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d1831f660c4a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Atividades por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spPr>
            <a:solidFill xmlns:a="http://schemas.openxmlformats.org/drawingml/2006/main">
              <a:srgbClr val="DD7FD4"/>
            </a:solidFill>
          </c:spPr>
          <c:cat>
            <c:strRef>
              <c:f>'Dashboard'!$D$6:$D$10</c:f>
              <c:strCache>
                <c:ptCount val="0"/>
              </c:strCache>
            </c:strRef>
          </c:cat>
          <c:val>
            <c:numRef>
              <c:f>'Dashboard'!$E$6:$E$10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d1831f660c4a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ividadesTable" displayName="AtividadesTable" ref="A1:S9" headerRowCount="1" totalsRowCount="0" totalsRowShown="0">
  <x:autoFilter ref="A1:S9"/>
  <x:tableColumns count="19">
    <x:tableColumn id="1" name="ID"/>
    <x:tableColumn id="2" name="Tipo de Atividade"/>
    <x:tableColumn id="3" name="Status"/>
    <x:tableColumn id="4" name="Situação"/>
    <x:tableColumn id="5" name="Material Utilizado"/>
    <x:tableColumn id="6" name="Cod. Material"/>
    <x:tableColumn id="7" name="Quantidade"/>
    <x:tableColumn id="8" name="Custo Mat"/>
    <x:tableColumn id="9" name="Serviço M.O"/>
    <x:tableColumn id="10" name="Qtde Serviço"/>
    <x:tableColumn id="11" name="Custo M.O"/>
    <x:tableColumn id="12" name="Custo Total"/>
    <x:tableColumn id="13" name="Custo Evitado"/>
    <x:tableColumn id="14" name="Custo Técnico / Dia"/>
    <x:tableColumn id="15" name="Qtde Técnicos"/>
    <x:tableColumn id="16" name="Qtde Dias"/>
    <x:tableColumn id="17" name="Custo por Técnico"/>
    <x:tableColumn id="18" name="GAP"/>
    <x:tableColumn id="19" name="Atualizado Em"/>
  </x:tableColumns>
  <x:tableStyleInfo name="TableStyleMedium4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812d5dd5f840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d2b7763eba4977" /></Relationships>
</file>

<file path=xl/worksheets/sheet1.xml><?xml version="1.0" encoding="utf-8"?>
<x:worksheet xmlns:x="http://schemas.openxmlformats.org/spreadsheetml/2006/main">
  <x:sheetPr>
    <x:tabColor rgb="FFDD7FD4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34" hidden="0" customWidth="1"/>
    <x:col min="5" max="5" width="17" hidden="0" customWidth="1"/>
    <x:col min="6" max="6" width="3" hidden="0" customWidth="1"/>
  </x:cols>
  <x:sheetData>
    <x:row r="1" ht="30" customHeight="1">
      <x:c r="A1" s="34" t="str">
        <x:v>B2B CTACUSTOS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0" customHeight="1">
      <x:c r="A2" s="35" t="str">
        <x:v>Resumo operacional conectado à aba Atividades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39" t="str">
        <x:v>Indicador</x:v>
      </x:c>
      <x:c r="B5" s="39" t="str">
        <x:v>Valor</x:v>
      </x:c>
      <x:c r="C5" s="1"/>
      <x:c r="D5" s="39" t="str">
        <x:v>Status</x:v>
      </x:c>
      <x:c r="E5" s="39" t="str">
        <x:v>Quantidade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42" t="str">
        <x:v>Total de atividades</x:v>
      </x:c>
      <x:c r="B6" s="45" t="n">
        <x:f>COUNTA(Atividades!$A$2:$A$1000)</x:f>
        <x:v>8</x:v>
      </x:c>
      <x:c r="C6" s="1"/>
      <x:c r="D6" s="42" t="str">
        <x:v>Planejada</x:v>
      </x:c>
      <x:c r="E6" s="49" t="n">
        <x:f>COUNTIF(Atividades!$C$2:$C$1000,D6)</x:f>
        <x:v>1</x:v>
      </x:c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43" t="str">
        <x:v>Em andamento</x:v>
      </x:c>
      <x:c r="B7" s="46" t="n">
        <x:f>COUNTIF(Atividades!$C$2:$C$1000,"Em andamento")</x:f>
        <x:v>2</x:v>
      </x:c>
      <x:c r="C7" s="1"/>
      <x:c r="D7" s="43" t="str">
        <x:v>Em andamento</x:v>
      </x:c>
      <x:c r="E7" s="50" t="n">
        <x:f>COUNTIF(Atividades!$C$2:$C$1000,D7)</x:f>
        <x:v>2</x:v>
      </x:c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43" t="str">
        <x:v>Concluídas</x:v>
      </x:c>
      <x:c r="B8" s="46" t="n">
        <x:f>COUNTIF(Atividades!$C$2:$C$1000,"Concluída")</x:f>
        <x:v>3</x:v>
      </x:c>
      <x:c r="C8" s="1"/>
      <x:c r="D8" s="43" t="str">
        <x:v>Em validação</x:v>
      </x:c>
      <x:c r="E8" s="50" t="n">
        <x:f>COUNTIF(Atividades!$C$2:$C$1000,D8)</x:f>
        <x:v>1</x:v>
      </x:c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43" t="str">
        <x:v>Custo total</x:v>
      </x:c>
      <x:c r="B9" s="47" t="n">
        <x:f>SUM(Atividades!$L$2:$L$1000)</x:f>
        <x:v>26429.2</x:v>
      </x:c>
      <x:c r="C9" s="1"/>
      <x:c r="D9" s="43" t="str">
        <x:v>Concluída</x:v>
      </x:c>
      <x:c r="E9" s="50" t="n">
        <x:f>COUNTIF(Atividades!$C$2:$C$1000,D9)</x:f>
        <x:v>3</x:v>
      </x:c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43" t="str">
        <x:v>Custo evitado</x:v>
      </x:c>
      <x:c r="B10" s="47" t="n">
        <x:f>SUM(Atividades!$M$2:$M$1000)</x:f>
        <x:v>35000</x:v>
      </x:c>
      <x:c r="C10" s="1"/>
      <x:c r="D10" s="44" t="str">
        <x:v>Cancelada</x:v>
      </x:c>
      <x:c r="E10" s="51" t="n">
        <x:f>COUNTIF(Atividades!$C$2:$C$1000,D10)</x:f>
        <x:v>1</x:v>
      </x:c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44" t="str">
        <x:v>GAP</x:v>
      </x:c>
      <x:c r="B11" s="48" t="n">
        <x:f>SUM(Atividades!$R$2:$R$1000)</x:f>
        <x:v>8570.8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53" t="str">
        <x:v>ID</x:v>
      </x:c>
      <x:c r="B14" s="53" t="str">
        <x:v>Tipo de Atividade</x:v>
      </x:c>
      <x:c r="C14" s="53" t="str">
        <x:v>Status</x:v>
      </x:c>
      <x:c r="D14" s="53" t="str">
        <x:v>Situação</x:v>
      </x:c>
      <x:c r="E14" s="53" t="str">
        <x:v>Custo Total</x:v>
      </x:c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6" t="str">
        <x:v>ATV-001</x:v>
      </x:c>
      <x:c r="B15" s="16" t="str">
        <x:v>Manutenção preventiva</x:v>
      </x:c>
      <x:c r="C15" s="16" t="str">
        <x:v>Concluída</x:v>
      </x:c>
      <x:c r="D15" s="16" t="str">
        <x:v>Executada dentro do prazo</x:v>
      </x:c>
      <x:c r="E15" s="54" t="n">
        <x:f>Atividades!L2</x:f>
        <x:v>2194</x:v>
      </x:c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7" t="str">
        <x:v>ATV-002</x:v>
      </x:c>
      <x:c r="B16" s="17" t="str">
        <x:v>Melhoria de processo</x:v>
      </x:c>
      <x:c r="C16" s="17" t="str">
        <x:v>Em andamento</x:v>
      </x:c>
      <x:c r="D16" s="17" t="str">
        <x:v>Aguardando validação técnica</x:v>
      </x:c>
      <x:c r="E16" s="40" t="n">
        <x:f>Atividades!L3</x:f>
        <x:v>3700</x:v>
      </x:c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7" t="str">
        <x:v>ATV-003</x:v>
      </x:c>
      <x:c r="B17" s="17" t="str">
        <x:v>Correção emergencial</x:v>
      </x:c>
      <x:c r="C17" s="17" t="str">
        <x:v>Em validação</x:v>
      </x:c>
      <x:c r="D17" s="17" t="str">
        <x:v>Teste final programado</x:v>
      </x:c>
      <x:c r="E17" s="40" t="n">
        <x:f>Atividades!L4</x:f>
        <x:v>2188.2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7" t="str">
        <x:v>ATV-004</x:v>
      </x:c>
      <x:c r="B18" s="17" t="str">
        <x:v>Adequação de segurança</x:v>
      </x:c>
      <x:c r="C18" s="17" t="str">
        <x:v>Planejada</x:v>
      </x:c>
      <x:c r="D18" s="17" t="str">
        <x:v>Material reservado</x:v>
      </x:c>
      <x:c r="E18" s="40" t="n">
        <x:f>Atividades!L5</x:f>
        <x:v>4240</x:v>
      </x:c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8" t="str">
        <x:v>ATV-005</x:v>
      </x:c>
      <x:c r="B19" s="18" t="str">
        <x:v>Otimização energética</x:v>
      </x:c>
      <x:c r="C19" s="18" t="str">
        <x:v>Concluída</x:v>
      </x:c>
      <x:c r="D19" s="18" t="str">
        <x:v>Economia confirmada em medição</x:v>
      </x:c>
      <x:c r="E19" s="41" t="n">
        <x:f>Atividades!L6</x:f>
        <x:v>5230</x:v>
      </x:c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7812d5dd5f8401d"/>
</x:worksheet>
</file>

<file path=xl/worksheets/sheet2.xml><?xml version="1.0" encoding="utf-8"?>
<x:worksheet xmlns:x="http://schemas.openxmlformats.org/spreadsheetml/2006/main">
  <x:sheetPr>
    <x:tabColor rgb="FFDD7FD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33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2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20" hidden="0" customWidth="1"/>
  </x:cols>
  <x:sheetData>
    <x:row r="1" ht="34" customHeight="1">
      <x:c r="A1" s="13" t="str">
        <x:v>ID</x:v>
      </x:c>
      <x:c r="B1" s="14" t="str">
        <x:v>Tipo de Atividade</x:v>
      </x:c>
      <x:c r="C1" s="14" t="str">
        <x:v>Status</x:v>
      </x:c>
      <x:c r="D1" s="14" t="str">
        <x:v>Situação</x:v>
      </x:c>
      <x:c r="E1" s="14" t="str">
        <x:v>Material Utilizado</x:v>
      </x:c>
      <x:c r="F1" s="14" t="str">
        <x:v>Cod. Material</x:v>
      </x:c>
      <x:c r="G1" s="14" t="str">
        <x:v>Quantidade</x:v>
      </x:c>
      <x:c r="H1" s="14" t="str">
        <x:v>Custo Mat</x:v>
      </x:c>
      <x:c r="I1" s="14" t="str">
        <x:v>Serviço M.O</x:v>
      </x:c>
      <x:c r="J1" s="14" t="str">
        <x:v>Qtde Serviço</x:v>
      </x:c>
      <x:c r="K1" s="14" t="str">
        <x:v>Custo M.O</x:v>
      </x:c>
      <x:c r="L1" s="14" t="str">
        <x:v>Custo Total</x:v>
      </x:c>
      <x:c r="M1" s="14" t="str">
        <x:v>Custo Evitado</x:v>
      </x:c>
      <x:c r="N1" s="14" t="str">
        <x:v>Custo Técnico / Dia</x:v>
      </x:c>
      <x:c r="O1" s="14" t="str">
        <x:v>Qtde Técnicos</x:v>
      </x:c>
      <x:c r="P1" s="14" t="str">
        <x:v>Qtde Dias</x:v>
      </x:c>
      <x:c r="Q1" s="14" t="str">
        <x:v>Custo por Técnico</x:v>
      </x:c>
      <x:c r="R1" s="14" t="str">
        <x:v>GAP</x:v>
      </x:c>
      <x:c r="S1" s="15" t="str">
        <x:v>Atualizado Em</x:v>
      </x:c>
    </x:row>
    <x:row r="2" ht="28" customHeight="1">
      <x:c r="A2" s="19" t="str">
        <x:v>ATV-001</x:v>
      </x:c>
      <x:c r="B2" s="19" t="str">
        <x:v>Manutenção preventiva</x:v>
      </x:c>
      <x:c r="C2" s="19" t="str">
        <x:v>Concluída</x:v>
      </x:c>
      <x:c r="D2" s="19" t="str">
        <x:v>Executada dentro do prazo</x:v>
      </x:c>
      <x:c r="E2" s="19" t="str">
        <x:v>Rolamento 6204</x:v>
      </x:c>
      <x:c r="F2" s="19" t="str">
        <x:v>MAT-6204</x:v>
      </x:c>
      <x:c r="G2" s="25" t="n">
        <x:v>4</x:v>
      </x:c>
      <x:c r="H2" s="28" t="n">
        <x:v>38.5</x:v>
      </x:c>
      <x:c r="I2" s="22" t="str">
        <x:v>Inspeção e troca</x:v>
      </x:c>
      <x:c r="J2" s="25" t="n">
        <x:v>2</x:v>
      </x:c>
      <x:c r="K2" s="28" t="n">
        <x:v>180</x:v>
      </x:c>
      <x:c r="L2" s="28" t="n">
        <x:f>G2*H2+J2*K2+N2*O2*P2</x:f>
        <x:v>2194</x:v>
      </x:c>
      <x:c r="M2" s="28" t="n">
        <x:v>2200</x:v>
      </x:c>
      <x:c r="N2" s="28" t="n">
        <x:v>420</x:v>
      </x:c>
      <x:c r="O2" s="25" t="n">
        <x:v>2</x:v>
      </x:c>
      <x:c r="P2" s="25" t="n">
        <x:v>2</x:v>
      </x:c>
      <x:c r="Q2" s="28" t="n">
        <x:f>IF(O2&gt;0,L2/O2,0)</x:f>
        <x:v>1097</x:v>
      </x:c>
      <x:c r="R2" s="28" t="n">
        <x:f>M2-L2</x:f>
        <x:v>6</x:v>
      </x:c>
      <x:c r="S2" s="31" t="n">
        <x:v>46268.805555555555</x:v>
      </x:c>
    </x:row>
    <x:row r="3" ht="28" customHeight="1">
      <x:c r="A3" s="20" t="str">
        <x:v>ATV-002</x:v>
      </x:c>
      <x:c r="B3" s="20" t="str">
        <x:v>Melhoria de processo</x:v>
      </x:c>
      <x:c r="C3" s="20" t="str">
        <x:v>Em andamento</x:v>
      </x:c>
      <x:c r="D3" s="20" t="str">
        <x:v>Aguardando validação técnica</x:v>
      </x:c>
      <x:c r="E3" s="20" t="str">
        <x:v>Sensor indutivo</x:v>
      </x:c>
      <x:c r="F3" s="20" t="str">
        <x:v>SEN-018</x:v>
      </x:c>
      <x:c r="G3" s="26" t="n">
        <x:v>2</x:v>
      </x:c>
      <x:c r="H3" s="29" t="n">
        <x:v>215</x:v>
      </x:c>
      <x:c r="I3" s="23" t="str">
        <x:v>Instalação e teste</x:v>
      </x:c>
      <x:c r="J3" s="26" t="n">
        <x:v>1</x:v>
      </x:c>
      <x:c r="K3" s="29" t="n">
        <x:v>390</x:v>
      </x:c>
      <x:c r="L3" s="29" t="n">
        <x:f>G3*H3+J3*K3+N3*O3*P3</x:f>
        <x:v>3700</x:v>
      </x:c>
      <x:c r="M3" s="29" t="n">
        <x:v>3800</x:v>
      </x:c>
      <x:c r="N3" s="29" t="n">
        <x:v>480</x:v>
      </x:c>
      <x:c r="O3" s="26" t="n">
        <x:v>3</x:v>
      </x:c>
      <x:c r="P3" s="26" t="n">
        <x:v>2</x:v>
      </x:c>
      <x:c r="Q3" s="29" t="n">
        <x:f>IF(O3&gt;0,L3/O3,0)</x:f>
        <x:v>1233.3333333333333</x:v>
      </x:c>
      <x:c r="R3" s="29" t="n">
        <x:f>M3-L3</x:f>
        <x:v>100</x:v>
      </x:c>
      <x:c r="S3" s="32" t="n">
        <x:v>46269.52777777778</x:v>
      </x:c>
    </x:row>
    <x:row r="4" ht="28" customHeight="1">
      <x:c r="A4" s="20" t="str">
        <x:v>ATV-003</x:v>
      </x:c>
      <x:c r="B4" s="20" t="str">
        <x:v>Correção emergencial</x:v>
      </x:c>
      <x:c r="C4" s="20" t="str">
        <x:v>Em validação</x:v>
      </x:c>
      <x:c r="D4" s="20" t="str">
        <x:v>Teste final programado</x:v>
      </x:c>
      <x:c r="E4" s="20" t="str">
        <x:v>Cabo de potência</x:v>
      </x:c>
      <x:c r="F4" s="20" t="str">
        <x:v>CAB-095</x:v>
      </x:c>
      <x:c r="G4" s="26" t="n">
        <x:v>18</x:v>
      </x:c>
      <x:c r="H4" s="29" t="n">
        <x:v>24.9</x:v>
      </x:c>
      <x:c r="I4" s="23" t="str">
        <x:v>Reparo elétrico</x:v>
      </x:c>
      <x:c r="J4" s="26" t="n">
        <x:v>3</x:v>
      </x:c>
      <x:c r="K4" s="29" t="n">
        <x:v>240</x:v>
      </x:c>
      <x:c r="L4" s="29" t="n">
        <x:f>G4*H4+J4*K4+N4*O4*P4</x:f>
        <x:v>2188.2</x:v>
      </x:c>
      <x:c r="M4" s="29" t="n">
        <x:v>4200</x:v>
      </x:c>
      <x:c r="N4" s="29" t="n">
        <x:v>510</x:v>
      </x:c>
      <x:c r="O4" s="26" t="n">
        <x:v>2</x:v>
      </x:c>
      <x:c r="P4" s="26" t="n">
        <x:v>1</x:v>
      </x:c>
      <x:c r="Q4" s="29" t="n">
        <x:f>IF(O4&gt;0,L4/O4,0)</x:f>
        <x:v>1094.1</x:v>
      </x:c>
      <x:c r="R4" s="29" t="n">
        <x:f>M4-L4</x:f>
        <x:v>2011.8000000000002</x:v>
      </x:c>
      <x:c r="S4" s="32" t="n">
        <x:v>46269.59375</x:v>
      </x:c>
    </x:row>
    <x:row r="5" ht="28" customHeight="1">
      <x:c r="A5" s="20" t="str">
        <x:v>ATV-004</x:v>
      </x:c>
      <x:c r="B5" s="20" t="str">
        <x:v>Adequação de segurança</x:v>
      </x:c>
      <x:c r="C5" s="20" t="str">
        <x:v>Planejada</x:v>
      </x:c>
      <x:c r="D5" s="20" t="str">
        <x:v>Material reservado</x:v>
      </x:c>
      <x:c r="E5" s="20" t="str">
        <x:v>Kit de proteção</x:v>
      </x:c>
      <x:c r="F5" s="20" t="str">
        <x:v>KIT-SEG</x:v>
      </x:c>
      <x:c r="G5" s="26" t="n">
        <x:v>3</x:v>
      </x:c>
      <x:c r="H5" s="29" t="n">
        <x:v>280</x:v>
      </x:c>
      <x:c r="I5" s="23" t="str">
        <x:v>Montagem de proteção</x:v>
      </x:c>
      <x:c r="J5" s="26" t="n">
        <x:v>2</x:v>
      </x:c>
      <x:c r="K5" s="29" t="n">
        <x:v>320</x:v>
      </x:c>
      <x:c r="L5" s="29" t="n">
        <x:f>G5*H5+J5*K5+N5*O5*P5</x:f>
        <x:v>4240</x:v>
      </x:c>
      <x:c r="M5" s="29" t="n">
        <x:v>5200</x:v>
      </x:c>
      <x:c r="N5" s="29" t="n">
        <x:v>460</x:v>
      </x:c>
      <x:c r="O5" s="26" t="n">
        <x:v>2</x:v>
      </x:c>
      <x:c r="P5" s="26" t="n">
        <x:v>3</x:v>
      </x:c>
      <x:c r="Q5" s="29" t="n">
        <x:f>IF(O5&gt;0,L5/O5,0)</x:f>
        <x:v>2120</x:v>
      </x:c>
      <x:c r="R5" s="29" t="n">
        <x:f>M5-L5</x:f>
        <x:v>960</x:v>
      </x:c>
      <x:c r="S5" s="32" t="n">
        <x:v>46267.71527777778</x:v>
      </x:c>
    </x:row>
    <x:row r="6" ht="28" customHeight="1">
      <x:c r="A6" s="20" t="str">
        <x:v>ATV-005</x:v>
      </x:c>
      <x:c r="B6" s="20" t="str">
        <x:v>Otimização energética</x:v>
      </x:c>
      <x:c r="C6" s="20" t="str">
        <x:v>Concluída</x:v>
      </x:c>
      <x:c r="D6" s="20" t="str">
        <x:v>Economia confirmada em medição</x:v>
      </x:c>
      <x:c r="E6" s="20" t="str">
        <x:v>Inversor de frequência</x:v>
      </x:c>
      <x:c r="F6" s="20" t="str">
        <x:v>INV-220</x:v>
      </x:c>
      <x:c r="G6" s="26" t="n">
        <x:v>1</x:v>
      </x:c>
      <x:c r="H6" s="29" t="n">
        <x:v>1850</x:v>
      </x:c>
      <x:c r="I6" s="23" t="str">
        <x:v>Parametrização</x:v>
      </x:c>
      <x:c r="J6" s="26" t="n">
        <x:v>2</x:v>
      </x:c>
      <x:c r="K6" s="29" t="n">
        <x:v>450</x:v>
      </x:c>
      <x:c r="L6" s="29" t="n">
        <x:f>G6*H6+J6*K6+N6*O6*P6</x:f>
        <x:v>5230</x:v>
      </x:c>
      <x:c r="M6" s="29" t="n">
        <x:v>8900</x:v>
      </x:c>
      <x:c r="N6" s="29" t="n">
        <x:v>620</x:v>
      </x:c>
      <x:c r="O6" s="26" t="n">
        <x:v>2</x:v>
      </x:c>
      <x:c r="P6" s="26" t="n">
        <x:v>2</x:v>
      </x:c>
      <x:c r="Q6" s="29" t="n">
        <x:f>IF(O6&gt;0,L6/O6,0)</x:f>
        <x:v>2615</x:v>
      </x:c>
      <x:c r="R6" s="29" t="n">
        <x:f>M6-L6</x:f>
        <x:v>3670</x:v>
      </x:c>
      <x:c r="S6" s="32" t="n">
        <x:v>46266.87152777778</x:v>
      </x:c>
    </x:row>
    <x:row r="7" ht="28" customHeight="1">
      <x:c r="A7" s="20" t="str">
        <x:v>ATV-006</x:v>
      </x:c>
      <x:c r="B7" s="20" t="str">
        <x:v>Inspeção técnica</x:v>
      </x:c>
      <x:c r="C7" s="20" t="str">
        <x:v>Cancelada</x:v>
      </x:c>
      <x:c r="D7" s="20" t="str">
        <x:v>Janela de manutenção suspensa</x:v>
      </x:c>
      <x:c r="E7" s="20" t="str">
        <x:v>Sem material</x:v>
      </x:c>
      <x:c r="F7" s="20" t="str">
        <x:v>—</x:v>
      </x:c>
      <x:c r="G7" s="26" t="n">
        <x:v>0</x:v>
      </x:c>
      <x:c r="H7" s="29" t="n">
        <x:v>0</x:v>
      </x:c>
      <x:c r="I7" s="23" t="str">
        <x:v>Inspeção de campo</x:v>
      </x:c>
      <x:c r="J7" s="26" t="n">
        <x:v>1</x:v>
      </x:c>
      <x:c r="K7" s="29" t="n">
        <x:v>220</x:v>
      </x:c>
      <x:c r="L7" s="29" t="n">
        <x:f>G7*H7+J7*K7+N7*O7*P7</x:f>
        <x:v>630</x:v>
      </x:c>
      <x:c r="M7" s="29" t="n">
        <x:v>0</x:v>
      </x:c>
      <x:c r="N7" s="29" t="n">
        <x:v>410</x:v>
      </x:c>
      <x:c r="O7" s="26" t="n">
        <x:v>1</x:v>
      </x:c>
      <x:c r="P7" s="26" t="n">
        <x:v>1</x:v>
      </x:c>
      <x:c r="Q7" s="29" t="n">
        <x:f>IF(O7&gt;0,L7/O7,0)</x:f>
        <x:v>630</x:v>
      </x:c>
      <x:c r="R7" s="29" t="n">
        <x:f>M7-L7</x:f>
        <x:v>-630</x:v>
      </x:c>
      <x:c r="S7" s="32" t="n">
        <x:v>46263.541666666664</x:v>
      </x:c>
    </x:row>
    <x:row r="8" ht="28" customHeight="1">
      <x:c r="A8" s="20" t="str">
        <x:v>ATV-007</x:v>
      </x:c>
      <x:c r="B8" s="20" t="str">
        <x:v>Automação de rotina</x:v>
      </x:c>
      <x:c r="C8" s="20" t="str">
        <x:v>Em andamento</x:v>
      </x:c>
      <x:c r="D8" s="20" t="str">
        <x:v>Programação do CLP em curso</x:v>
      </x:c>
      <x:c r="E8" s="20" t="str">
        <x:v>Módulo de entrada</x:v>
      </x:c>
      <x:c r="F8" s="20" t="str">
        <x:v>CLP-IO16</x:v>
      </x:c>
      <x:c r="G8" s="26" t="n">
        <x:v>2</x:v>
      </x:c>
      <x:c r="H8" s="29" t="n">
        <x:v>760</x:v>
      </x:c>
      <x:c r="I8" s="23" t="str">
        <x:v>Programação e comissionamento</x:v>
      </x:c>
      <x:c r="J8" s="26" t="n">
        <x:v>4</x:v>
      </x:c>
      <x:c r="K8" s="29" t="n">
        <x:v>370</x:v>
      </x:c>
      <x:c r="L8" s="29" t="n">
        <x:f>G8*H8+J8*K8+N8*O8*P8</x:f>
        <x:v>6480</x:v>
      </x:c>
      <x:c r="M8" s="29" t="n">
        <x:v>7100</x:v>
      </x:c>
      <x:c r="N8" s="29" t="n">
        <x:v>580</x:v>
      </x:c>
      <x:c r="O8" s="26" t="n">
        <x:v>2</x:v>
      </x:c>
      <x:c r="P8" s="26" t="n">
        <x:v>3</x:v>
      </x:c>
      <x:c r="Q8" s="29" t="n">
        <x:f>IF(O8&gt;0,L8/O8,0)</x:f>
        <x:v>3240</x:v>
      </x:c>
      <x:c r="R8" s="29" t="n">
        <x:f>M8-L8</x:f>
        <x:v>620</x:v>
      </x:c>
      <x:c r="S8" s="32" t="n">
        <x:v>46269.67013888889</x:v>
      </x:c>
    </x:row>
    <x:row r="9" ht="28" customHeight="1">
      <x:c r="A9" s="21" t="str">
        <x:v>ATV-008</x:v>
      </x:c>
      <x:c r="B9" s="21" t="str">
        <x:v>Redução de perdas</x:v>
      </x:c>
      <x:c r="C9" s="21" t="str">
        <x:v>Concluída</x:v>
      </x:c>
      <x:c r="D9" s="21" t="str">
        <x:v>Indicador estabilizado</x:v>
      </x:c>
      <x:c r="E9" s="21" t="str">
        <x:v>Vedação industrial</x:v>
      </x:c>
      <x:c r="F9" s="21" t="str">
        <x:v>VED-044</x:v>
      </x:c>
      <x:c r="G9" s="27" t="n">
        <x:v>6</x:v>
      </x:c>
      <x:c r="H9" s="30" t="n">
        <x:v>52</x:v>
      </x:c>
      <x:c r="I9" s="24" t="str">
        <x:v>Substituição de vedação</x:v>
      </x:c>
      <x:c r="J9" s="27" t="n">
        <x:v>3</x:v>
      </x:c>
      <x:c r="K9" s="30" t="n">
        <x:v>195</x:v>
      </x:c>
      <x:c r="L9" s="30" t="n">
        <x:f>G9*H9+J9*K9+N9*O9*P9</x:f>
        <x:v>1767</x:v>
      </x:c>
      <x:c r="M9" s="30" t="n">
        <x:v>3600</x:v>
      </x:c>
      <x:c r="N9" s="30" t="n">
        <x:v>435</x:v>
      </x:c>
      <x:c r="O9" s="27" t="n">
        <x:v>2</x:v>
      </x:c>
      <x:c r="P9" s="27" t="n">
        <x:v>1</x:v>
      </x:c>
      <x:c r="Q9" s="30" t="n">
        <x:f>IF(O9&gt;0,L9/O9,0)</x:f>
        <x:v>883.5</x:v>
      </x:c>
      <x:c r="R9" s="30" t="n">
        <x:f>M9-L9</x:f>
        <x:v>1833</x:v>
      </x:c>
      <x:c r="S9" s="33" t="n">
        <x:v>46265.770833333336</x:v>
      </x:c>
    </x:row>
  </x:sheetData>
  <x:conditionalFormatting sqref="C2:C1000">
    <x:cfRule type="containsText" dxfId="0" priority="1" operator="containsText" text="Concluída"/>
    <x:cfRule type="containsText" dxfId="1" priority="2" operator="containsText" text="Em andamento"/>
    <x:cfRule type="containsText" dxfId="2" priority="3" operator="containsText" text="Cancelada"/>
  </x:conditionalFormatting>
  <x:conditionalFormatting sqref="R2:R1000">
    <x:cfRule type="cellIs" dxfId="3" priority="4" operator="lessThan">
      <x:formula>0</x:formula>
    </x:cfRule>
    <x:cfRule type="cellIs" dxfId="4" priority="5" operator="greaterThanOrEqual">
      <x:formula>0</x:formula>
    </x:cfRule>
  </x:conditionalFormatting>
  <x:dataValidations count="1">
    <x:dataValidation type="list" sqref="C2:C1000">
      <x:formula1>Parametros!$A$2:$A$6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2b7763eba4977"/>
  </x:tableParts>
</x:worksheet>
</file>

<file path=xl/worksheets/sheet3.xml><?xml version="1.0" encoding="utf-8"?>
<x:worksheet xmlns:x="http://schemas.openxmlformats.org/spreadsheetml/2006/main">
  <x:sheetPr>
    <x:tabColor rgb="FFB7AEC0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9" hidden="0" customWidth="1"/>
    <x:col min="5" max="5" width="58" hidden="0" customWidth="1"/>
  </x:cols>
  <x:sheetData>
    <x:row r="1">
      <x:c r="A1" s="3" t="str">
        <x:v>Status permitidos</x:v>
      </x:c>
      <x:c r="B1" s="3" t="str">
        <x:v>Uso</x:v>
      </x:c>
      <x:c r="C1" s="1"/>
      <x:c r="D1" s="3" t="str">
        <x:v>Cálculo</x:v>
      </x:c>
      <x:c r="E1" s="3" t="str">
        <x:v>Regra</x:v>
      </x:c>
    </x:row>
    <x:row r="2">
      <x:c r="A2" s="16" t="str">
        <x:v>Planejada</x:v>
      </x:c>
      <x:c r="B2" s="16" t="str">
        <x:v>Atividade ainda não iniciada</x:v>
      </x:c>
      <x:c r="C2" s="1"/>
      <x:c r="D2" s="16" t="str">
        <x:v>Custo material</x:v>
      </x:c>
      <x:c r="E2" s="16" t="str">
        <x:v>Quantidade x Custo Mat unitário</x:v>
      </x:c>
    </x:row>
    <x:row r="3">
      <x:c r="A3" s="17" t="str">
        <x:v>Em andamento</x:v>
      </x:c>
      <x:c r="B3" s="17" t="str">
        <x:v>Execução ativa</x:v>
      </x:c>
      <x:c r="C3" s="1"/>
      <x:c r="D3" s="17" t="str">
        <x:v>Custo M.O</x:v>
      </x:c>
      <x:c r="E3" s="17" t="str">
        <x:v>Qtde Serviço x Custo M.O unitário</x:v>
      </x:c>
    </x:row>
    <x:row r="4">
      <x:c r="A4" s="17" t="str">
        <x:v>Em validação</x:v>
      </x:c>
      <x:c r="B4" s="17" t="str">
        <x:v>Aguardando aceite técnico</x:v>
      </x:c>
      <x:c r="C4" s="1"/>
      <x:c r="D4" s="17" t="str">
        <x:v>Custo total</x:v>
      </x:c>
      <x:c r="E4" s="17" t="str">
        <x:v>Material + M.O + (custo técnico/dia x técnicos x dias)</x:v>
      </x:c>
    </x:row>
    <x:row r="5">
      <x:c r="A5" s="17" t="str">
        <x:v>Concluída</x:v>
      </x:c>
      <x:c r="B5" s="17" t="str">
        <x:v>Atividade finalizada</x:v>
      </x:c>
      <x:c r="C5" s="1"/>
      <x:c r="D5" s="18" t="str">
        <x:v>GAP</x:v>
      </x:c>
      <x:c r="E5" s="18" t="str">
        <x:v>Custo evitado - Custo total</x:v>
      </x:c>
    </x:row>
    <x:row r="6">
      <x:c r="A6" s="18" t="str">
        <x:v>Cancelada</x:v>
      </x:c>
      <x:c r="B6" s="18" t="str">
        <x:v>Atividade inativa</x:v>
      </x:c>
      <x:c r="C6" s="1"/>
      <x:c r="D6" s="1"/>
      <x:c r="E6" s="1"/>
    </x:row>
    <x:row r="7">
      <x:c r="A7" t="str"/>
      <x:c r="B7" t="str"/>
    </x:row>
  </x:sheetData>
  <x:pageMargins left="0.7" right="0.7" top="0.75" bottom="0.75" header="0.3" footer="0.3"/>
</x:worksheet>
</file>